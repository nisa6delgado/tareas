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gracia/Desktop/"/>
    </mc:Choice>
  </mc:AlternateContent>
  <xr:revisionPtr revIDLastSave="0" documentId="13_ncr:1_{A000FDF5-65E7-8240-BBFF-538D894E6FBF}" xr6:coauthVersionLast="36" xr6:coauthVersionMax="36" xr10:uidLastSave="{00000000-0000-0000-0000-000000000000}"/>
  <bookViews>
    <workbookView xWindow="0" yWindow="0" windowWidth="28800" windowHeight="18000" activeTab="2" xr2:uid="{CB5C1FB8-208F-F54E-BB40-EF81A49229D4}"/>
  </bookViews>
  <sheets>
    <sheet name="Cotizador C&amp;T" sheetId="1" r:id="rId1"/>
    <sheet name="Cotizador Express" sheetId="3" r:id="rId2"/>
    <sheet name="Cotizador regular" sheetId="4" r:id="rId3"/>
    <sheet name="Sheet2" sheetId="2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4" l="1"/>
  <c r="E20" i="4" s="1"/>
  <c r="E25" i="4" s="1"/>
  <c r="E24" i="4" l="1"/>
  <c r="H4" i="4"/>
  <c r="E7" i="4" s="1"/>
  <c r="E10" i="4" s="1"/>
  <c r="E3" i="3"/>
  <c r="E9" i="4" l="1"/>
  <c r="E15" i="1"/>
  <c r="E20" i="1" s="1"/>
  <c r="E13" i="1"/>
  <c r="E11" i="1"/>
  <c r="E19" i="1" l="1"/>
  <c r="E23" i="1" l="1"/>
  <c r="E21" i="1"/>
  <c r="E25" i="1"/>
</calcChain>
</file>

<file path=xl/sharedStrings.xml><?xml version="1.0" encoding="utf-8"?>
<sst xmlns="http://schemas.openxmlformats.org/spreadsheetml/2006/main" count="86" uniqueCount="67">
  <si>
    <t>SKY</t>
  </si>
  <si>
    <t>Para modificar</t>
  </si>
  <si>
    <t>COTIZADOR</t>
  </si>
  <si>
    <t>No tocar</t>
  </si>
  <si>
    <t>Datos del pedido</t>
  </si>
  <si>
    <t>Peso</t>
  </si>
  <si>
    <t>Valor</t>
  </si>
  <si>
    <t>Entrega (Lima o Provincia)</t>
  </si>
  <si>
    <t>Lima</t>
  </si>
  <si>
    <t>Provincia</t>
  </si>
  <si>
    <t>Costos</t>
  </si>
  <si>
    <t>Costo por 1er kg</t>
  </si>
  <si>
    <t>Kg adicional</t>
  </si>
  <si>
    <t>Distribución</t>
  </si>
  <si>
    <t>Arancel</t>
  </si>
  <si>
    <t>Descuento</t>
  </si>
  <si>
    <t>Precio (sin IGV)</t>
  </si>
  <si>
    <t>Aranceles</t>
  </si>
  <si>
    <t>Total a pagar</t>
  </si>
  <si>
    <t>Precio final (con IGV)</t>
  </si>
  <si>
    <t>Margen</t>
  </si>
  <si>
    <t>KM a recorrer</t>
  </si>
  <si>
    <t xml:space="preserve">Precio </t>
  </si>
  <si>
    <t>Express</t>
  </si>
  <si>
    <t>Regular</t>
  </si>
  <si>
    <t>Tamaño</t>
  </si>
  <si>
    <t>Peso mayor</t>
  </si>
  <si>
    <t>Destino</t>
  </si>
  <si>
    <t>Largo</t>
  </si>
  <si>
    <t>Ancho</t>
  </si>
  <si>
    <t>Altura</t>
  </si>
  <si>
    <t>Peso volumen</t>
  </si>
  <si>
    <t>Precio céntrico</t>
  </si>
  <si>
    <t>Precio periférico</t>
  </si>
  <si>
    <t>URBANO</t>
  </si>
  <si>
    <t>NACIONAL</t>
  </si>
  <si>
    <t>Centro/Oriente</t>
  </si>
  <si>
    <t>Norte/NorOriente</t>
  </si>
  <si>
    <t>Sur</t>
  </si>
  <si>
    <t>Sur y Norte chico</t>
  </si>
  <si>
    <t>Centro/Oriente:</t>
  </si>
  <si>
    <t>Huancavelica</t>
  </si>
  <si>
    <t>Huánuco</t>
  </si>
  <si>
    <t>Junín</t>
  </si>
  <si>
    <t>La Libertad</t>
  </si>
  <si>
    <t>Lambayeque</t>
  </si>
  <si>
    <t>Loreto</t>
  </si>
  <si>
    <t>Pasco</t>
  </si>
  <si>
    <t>Piura</t>
  </si>
  <si>
    <t>San Martín</t>
  </si>
  <si>
    <t>Tumbes</t>
  </si>
  <si>
    <t>Ucayali</t>
  </si>
  <si>
    <t>Amazonas</t>
  </si>
  <si>
    <t>Ancash</t>
  </si>
  <si>
    <t>Cajamarca</t>
  </si>
  <si>
    <t>Apurímac</t>
  </si>
  <si>
    <t>Arequipa</t>
  </si>
  <si>
    <t>Cuzco</t>
  </si>
  <si>
    <t>Madre de Dios</t>
  </si>
  <si>
    <t>Moquegua</t>
  </si>
  <si>
    <t>Puno</t>
  </si>
  <si>
    <t>Tacna</t>
  </si>
  <si>
    <t>Sur y norte chico</t>
  </si>
  <si>
    <t>Ayacucho</t>
  </si>
  <si>
    <t>Ica</t>
  </si>
  <si>
    <t>*revisar a qué zona pertenece la ciuad o provincia</t>
  </si>
  <si>
    <t>*Ciudades por 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</si>
</sst>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0"/>
      <name val="Calibri"/>
      <family val="2"/>
      <scheme val="minor"/>
    </font>
    <font>
      <sz val="12"/>
      <color theme="1"/>
      <name val="Arial"/>
      <family val="2"/>
    </font>
    <font>
      <sz val="12"/>
      <color rgb="FF262626"/>
      <name val="Arial"/>
      <family val="2"/>
    </font>
    <font>
      <b/>
      <sz val="12"/>
      <color theme="0" tint="-0.49998474074526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8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/>
    <xf numFmtId="0" fontId="0" fillId="0" borderId="0" xfId="0" applyFill="1"/>
    <xf numFmtId="0" fontId="3" fillId="3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/>
    <xf numFmtId="0" fontId="3" fillId="5" borderId="0" xfId="0" applyFont="1" applyFill="1"/>
    <xf numFmtId="0" fontId="3" fillId="0" borderId="0" xfId="0" applyFont="1" applyFill="1"/>
    <xf numFmtId="0" fontId="4" fillId="4" borderId="0" xfId="0" applyFont="1" applyFill="1"/>
    <xf numFmtId="0" fontId="3" fillId="4" borderId="0" xfId="0" applyFont="1" applyFill="1"/>
    <xf numFmtId="0" fontId="3" fillId="0" borderId="0" xfId="0" applyFont="1" applyBorder="1"/>
    <xf numFmtId="0" fontId="4" fillId="4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3" fontId="3" fillId="5" borderId="0" xfId="1" applyFont="1" applyFill="1"/>
    <xf numFmtId="164" fontId="3" fillId="3" borderId="0" xfId="0" applyNumberFormat="1" applyFont="1" applyFill="1"/>
    <xf numFmtId="9" fontId="3" fillId="0" borderId="0" xfId="0" applyNumberFormat="1" applyFont="1"/>
    <xf numFmtId="43" fontId="3" fillId="5" borderId="0" xfId="0" applyNumberFormat="1" applyFont="1" applyFill="1"/>
    <xf numFmtId="9" fontId="0" fillId="0" borderId="0" xfId="2" applyFont="1"/>
    <xf numFmtId="9" fontId="3" fillId="5" borderId="0" xfId="2" applyFont="1" applyFill="1"/>
    <xf numFmtId="0" fontId="3" fillId="5" borderId="0" xfId="0" applyFont="1" applyFill="1" applyAlignment="1">
      <alignment horizontal="center"/>
    </xf>
    <xf numFmtId="0" fontId="0" fillId="6" borderId="0" xfId="0" applyFill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0" fillId="0" borderId="0" xfId="0" applyFont="1"/>
    <xf numFmtId="0" fontId="8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DDEB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2092-EC99-8F48-B818-90814CCE81B4}">
  <dimension ref="B1:G25"/>
  <sheetViews>
    <sheetView workbookViewId="0">
      <selection activeCell="B1" sqref="B1"/>
    </sheetView>
  </sheetViews>
  <sheetFormatPr baseColWidth="10" defaultRowHeight="16" x14ac:dyDescent="0.2"/>
  <cols>
    <col min="1" max="1" width="8" customWidth="1"/>
    <col min="2" max="2" width="12.83203125" bestFit="1" customWidth="1"/>
    <col min="4" max="4" width="23.6640625" bestFit="1" customWidth="1"/>
  </cols>
  <sheetData>
    <row r="1" spans="2:5" ht="19" x14ac:dyDescent="0.25">
      <c r="B1" s="1" t="s">
        <v>0</v>
      </c>
      <c r="C1" s="2"/>
    </row>
    <row r="2" spans="2:5" x14ac:dyDescent="0.2">
      <c r="B2" s="3" t="s">
        <v>1</v>
      </c>
      <c r="C2" s="4"/>
      <c r="D2" s="27" t="s">
        <v>2</v>
      </c>
      <c r="E2" s="27"/>
    </row>
    <row r="3" spans="2:5" x14ac:dyDescent="0.2">
      <c r="B3" s="6" t="s">
        <v>3</v>
      </c>
      <c r="C3" s="7"/>
      <c r="D3" s="5"/>
      <c r="E3" s="5"/>
    </row>
    <row r="4" spans="2:5" x14ac:dyDescent="0.2">
      <c r="C4" s="2"/>
      <c r="D4" s="8" t="s">
        <v>4</v>
      </c>
      <c r="E4" s="9"/>
    </row>
    <row r="5" spans="2:5" x14ac:dyDescent="0.2">
      <c r="C5" s="2"/>
      <c r="D5" s="5" t="s">
        <v>5</v>
      </c>
      <c r="E5" s="3">
        <v>2</v>
      </c>
    </row>
    <row r="6" spans="2:5" x14ac:dyDescent="0.2">
      <c r="C6" s="2"/>
      <c r="D6" s="5" t="s">
        <v>6</v>
      </c>
      <c r="E6" s="3">
        <v>150</v>
      </c>
    </row>
    <row r="7" spans="2:5" x14ac:dyDescent="0.2">
      <c r="C7" s="2"/>
      <c r="D7" s="5" t="s">
        <v>7</v>
      </c>
      <c r="E7" s="3" t="s">
        <v>8</v>
      </c>
    </row>
    <row r="8" spans="2:5" x14ac:dyDescent="0.2">
      <c r="C8" s="2"/>
      <c r="D8" s="5"/>
      <c r="E8" s="10"/>
    </row>
    <row r="9" spans="2:5" x14ac:dyDescent="0.2">
      <c r="C9" s="2"/>
      <c r="D9" s="11" t="s">
        <v>10</v>
      </c>
      <c r="E9" s="12"/>
    </row>
    <row r="10" spans="2:5" x14ac:dyDescent="0.2">
      <c r="C10" s="2"/>
      <c r="D10" s="10" t="s">
        <v>11</v>
      </c>
      <c r="E10" s="13">
        <v>12.5</v>
      </c>
    </row>
    <row r="11" spans="2:5" x14ac:dyDescent="0.2">
      <c r="C11" s="2"/>
      <c r="D11" s="5" t="s">
        <v>12</v>
      </c>
      <c r="E11" s="6">
        <f>+(E5-1)*3.5</f>
        <v>3.5</v>
      </c>
    </row>
    <row r="12" spans="2:5" x14ac:dyDescent="0.2">
      <c r="C12" s="2"/>
      <c r="D12" s="5"/>
      <c r="E12" s="5"/>
    </row>
    <row r="13" spans="2:5" x14ac:dyDescent="0.2">
      <c r="C13" s="2"/>
      <c r="D13" s="5" t="s">
        <v>13</v>
      </c>
      <c r="E13" s="14">
        <f>+IF(E7="Lima",2.5,(2.5+5.79/1.18))</f>
        <v>2.5</v>
      </c>
    </row>
    <row r="14" spans="2:5" x14ac:dyDescent="0.2">
      <c r="C14" s="2"/>
      <c r="D14" s="5"/>
      <c r="E14" s="5"/>
    </row>
    <row r="15" spans="2:5" x14ac:dyDescent="0.2">
      <c r="C15" s="2"/>
      <c r="D15" s="5" t="s">
        <v>14</v>
      </c>
      <c r="E15" s="14">
        <f>+IF(E6&lt;=200,0,(E6+E10+E11)*0.2272)</f>
        <v>0</v>
      </c>
    </row>
    <row r="16" spans="2:5" x14ac:dyDescent="0.2">
      <c r="C16" s="2"/>
      <c r="D16" s="5"/>
      <c r="E16" s="5"/>
    </row>
    <row r="17" spans="3:7" x14ac:dyDescent="0.2">
      <c r="C17" s="2"/>
      <c r="D17" s="5" t="s">
        <v>15</v>
      </c>
      <c r="E17" s="15"/>
    </row>
    <row r="18" spans="3:7" x14ac:dyDescent="0.2">
      <c r="C18" s="2"/>
      <c r="D18" s="5"/>
      <c r="E18" s="16"/>
    </row>
    <row r="19" spans="3:7" x14ac:dyDescent="0.2">
      <c r="C19" s="2"/>
      <c r="D19" s="5" t="s">
        <v>16</v>
      </c>
      <c r="E19" s="14">
        <f>+(SUM(E10:E13)/(1-0.4))*(1-E17)</f>
        <v>30.833333333333336</v>
      </c>
    </row>
    <row r="20" spans="3:7" x14ac:dyDescent="0.2">
      <c r="C20" s="2"/>
      <c r="D20" s="5" t="s">
        <v>17</v>
      </c>
      <c r="E20" s="17">
        <f>+E15</f>
        <v>0</v>
      </c>
    </row>
    <row r="21" spans="3:7" x14ac:dyDescent="0.2">
      <c r="C21" s="2"/>
      <c r="D21" s="5" t="s">
        <v>18</v>
      </c>
      <c r="E21" s="17">
        <f>+E19+E20</f>
        <v>30.833333333333336</v>
      </c>
    </row>
    <row r="22" spans="3:7" x14ac:dyDescent="0.2">
      <c r="C22" s="2"/>
      <c r="D22" s="5"/>
      <c r="E22" s="5"/>
    </row>
    <row r="23" spans="3:7" x14ac:dyDescent="0.2">
      <c r="C23" s="2"/>
      <c r="D23" s="5" t="s">
        <v>19</v>
      </c>
      <c r="E23" s="17">
        <f>+E19*1.18+E20</f>
        <v>36.383333333333333</v>
      </c>
      <c r="G23" s="18"/>
    </row>
    <row r="24" spans="3:7" x14ac:dyDescent="0.2">
      <c r="C24" s="2"/>
      <c r="D24" s="5"/>
      <c r="E24" s="5"/>
    </row>
    <row r="25" spans="3:7" x14ac:dyDescent="0.2">
      <c r="C25" s="2"/>
      <c r="D25" s="5" t="s">
        <v>20</v>
      </c>
      <c r="E25" s="19">
        <f>1-(E10+E11+E13)/E19</f>
        <v>0.4</v>
      </c>
    </row>
  </sheetData>
  <mergeCells count="1">
    <mergeCell ref="D2:E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472F80-EA12-B644-B354-EF06AAFB141F}">
          <x14:formula1>
            <xm:f>Sheet2!$A$1:$A$2</xm:f>
          </x14:formula1>
          <xm:sqref>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914D-DB81-3749-8FAA-EC5F6922D7D4}">
  <dimension ref="B1:E3"/>
  <sheetViews>
    <sheetView workbookViewId="0">
      <selection activeCell="B1" sqref="B1:B3"/>
    </sheetView>
  </sheetViews>
  <sheetFormatPr baseColWidth="10" defaultRowHeight="16" x14ac:dyDescent="0.2"/>
  <cols>
    <col min="2" max="2" width="12.83203125" bestFit="1" customWidth="1"/>
    <col min="4" max="4" width="15.33203125" customWidth="1"/>
  </cols>
  <sheetData>
    <row r="1" spans="2:5" ht="19" x14ac:dyDescent="0.25">
      <c r="B1" s="1" t="s">
        <v>23</v>
      </c>
    </row>
    <row r="2" spans="2:5" x14ac:dyDescent="0.2">
      <c r="B2" s="3" t="s">
        <v>1</v>
      </c>
      <c r="D2" t="s">
        <v>21</v>
      </c>
      <c r="E2" s="3">
        <v>5</v>
      </c>
    </row>
    <row r="3" spans="2:5" x14ac:dyDescent="0.2">
      <c r="B3" s="6" t="s">
        <v>3</v>
      </c>
      <c r="D3" t="s">
        <v>22</v>
      </c>
      <c r="E3" s="20">
        <f>+IF(E2&gt;2,(E2-2)*1.5+10.9,10.9)</f>
        <v>15.4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DBA93-BA51-4F4C-A6B5-2AEEEE46A0ED}">
  <dimension ref="A1:O41"/>
  <sheetViews>
    <sheetView tabSelected="1" topLeftCell="C1" zoomScale="125" workbookViewId="0">
      <selection activeCell="M4" sqref="K2:M4"/>
    </sheetView>
  </sheetViews>
  <sheetFormatPr baseColWidth="10" defaultRowHeight="16" x14ac:dyDescent="0.2"/>
  <cols>
    <col min="1" max="1" width="15.6640625" customWidth="1"/>
    <col min="2" max="2" width="14.1640625" customWidth="1"/>
    <col min="4" max="4" width="15.83203125" customWidth="1"/>
    <col min="5" max="5" width="17.83203125" customWidth="1"/>
    <col min="6" max="6" width="16.33203125" customWidth="1"/>
    <col min="7" max="7" width="19.6640625" customWidth="1"/>
    <col min="8" max="8" width="14.1640625" customWidth="1"/>
    <col min="11" max="11" width="18.6640625" customWidth="1"/>
    <col min="12" max="12" width="19.1640625" customWidth="1"/>
    <col min="13" max="13" width="18.6640625" customWidth="1"/>
    <col min="14" max="14" width="20.1640625" customWidth="1"/>
  </cols>
  <sheetData>
    <row r="1" spans="2:15" ht="19" x14ac:dyDescent="0.25">
      <c r="B1" s="22" t="s">
        <v>24</v>
      </c>
      <c r="D1" s="28" t="s">
        <v>34</v>
      </c>
      <c r="E1" s="28"/>
      <c r="F1" s="28"/>
      <c r="G1" s="28"/>
      <c r="H1" s="28"/>
    </row>
    <row r="2" spans="2:15" x14ac:dyDescent="0.2">
      <c r="B2" s="3" t="s">
        <v>1</v>
      </c>
    </row>
    <row r="3" spans="2:15" x14ac:dyDescent="0.2">
      <c r="B3" s="6" t="s">
        <v>3</v>
      </c>
      <c r="E3" t="s">
        <v>28</v>
      </c>
      <c r="F3" t="s">
        <v>29</v>
      </c>
      <c r="G3" t="s">
        <v>30</v>
      </c>
      <c r="H3" t="s">
        <v>31</v>
      </c>
    </row>
    <row r="4" spans="2:15" x14ac:dyDescent="0.2">
      <c r="D4" t="s">
        <v>25</v>
      </c>
      <c r="E4" s="3">
        <v>50</v>
      </c>
      <c r="F4" s="3">
        <v>50</v>
      </c>
      <c r="G4" s="3">
        <v>50</v>
      </c>
      <c r="H4" s="14">
        <f>+(E4*F4*G4)/6000</f>
        <v>20.833333333333332</v>
      </c>
    </row>
    <row r="5" spans="2:15" x14ac:dyDescent="0.2">
      <c r="D5" t="s">
        <v>5</v>
      </c>
      <c r="E5" s="3">
        <v>25</v>
      </c>
    </row>
    <row r="7" spans="2:15" x14ac:dyDescent="0.2">
      <c r="D7" t="s">
        <v>26</v>
      </c>
      <c r="E7" s="14">
        <f>+MAX(H4,E5)</f>
        <v>25</v>
      </c>
    </row>
    <row r="9" spans="2:15" x14ac:dyDescent="0.2">
      <c r="D9" t="s">
        <v>32</v>
      </c>
      <c r="E9" t="str">
        <f>+IF(E7&lt;=3,"10.45",IF(E7&lt;=25,"17.13","Fuera de Rango"))</f>
        <v>17.13</v>
      </c>
    </row>
    <row r="10" spans="2:15" x14ac:dyDescent="0.2">
      <c r="D10" t="s">
        <v>33</v>
      </c>
      <c r="E10" t="str">
        <f>+IF(E7&lt;=3,"11.64",IF(E7&lt;=25,"18.34","Fuera de Rango"))</f>
        <v>18.34</v>
      </c>
    </row>
    <row r="14" spans="2:15" ht="19" x14ac:dyDescent="0.25">
      <c r="D14" s="28" t="s">
        <v>35</v>
      </c>
      <c r="E14" s="28"/>
      <c r="F14" s="28"/>
      <c r="G14" s="28"/>
      <c r="H14" s="28"/>
      <c r="O14" s="25"/>
    </row>
    <row r="15" spans="2:15" x14ac:dyDescent="0.2">
      <c r="O15" s="25"/>
    </row>
    <row r="16" spans="2:15" x14ac:dyDescent="0.2">
      <c r="E16" t="s">
        <v>28</v>
      </c>
      <c r="F16" t="s">
        <v>29</v>
      </c>
      <c r="G16" t="s">
        <v>30</v>
      </c>
      <c r="H16" t="s">
        <v>31</v>
      </c>
      <c r="O16" s="25"/>
    </row>
    <row r="17" spans="1:15" x14ac:dyDescent="0.2">
      <c r="D17" t="s">
        <v>25</v>
      </c>
      <c r="E17" s="3">
        <v>50</v>
      </c>
      <c r="F17" s="3">
        <v>50</v>
      </c>
      <c r="G17" s="3">
        <v>50</v>
      </c>
      <c r="H17" s="14">
        <f>+(E17*F17*G17)/6000</f>
        <v>20.833333333333332</v>
      </c>
      <c r="O17" s="25"/>
    </row>
    <row r="18" spans="1:15" x14ac:dyDescent="0.2">
      <c r="D18" t="s">
        <v>5</v>
      </c>
      <c r="E18" s="3">
        <v>25</v>
      </c>
      <c r="O18" s="25"/>
    </row>
    <row r="19" spans="1:15" x14ac:dyDescent="0.2">
      <c r="O19" s="25"/>
    </row>
    <row r="20" spans="1:15" x14ac:dyDescent="0.2">
      <c r="D20" t="s">
        <v>26</v>
      </c>
      <c r="E20" s="6">
        <f>+MAX(H17,E18)</f>
        <v>25</v>
      </c>
      <c r="O20" s="25"/>
    </row>
    <row r="21" spans="1:15" x14ac:dyDescent="0.2">
      <c r="O21" s="25"/>
    </row>
    <row r="22" spans="1:15" x14ac:dyDescent="0.2">
      <c r="A22" t="s">
        <v>36</v>
      </c>
      <c r="D22" t="s">
        <v>27</v>
      </c>
      <c r="E22" s="21" t="s">
        <v>38</v>
      </c>
      <c r="F22" t="s">
        <v>65</v>
      </c>
      <c r="O22" s="25"/>
    </row>
    <row r="23" spans="1:15" x14ac:dyDescent="0.2">
      <c r="A23" t="s">
        <v>37</v>
      </c>
      <c r="O23" s="25"/>
    </row>
    <row r="24" spans="1:15" x14ac:dyDescent="0.2">
      <c r="A24" t="s">
        <v>38</v>
      </c>
      <c r="D24" t="s">
        <v>32</v>
      </c>
      <c r="E24">
        <f>+IF(E22=A22,12.57+(E20-1)*3.71,IF(E22=A23,11+(E20-1)*3.57,IF(E22=A24,13.29+(E20-1)*3.57,IF(E22=A25,11+(E20-1)*3.57,"ERROR"))))</f>
        <v>98.97</v>
      </c>
      <c r="O24" s="25"/>
    </row>
    <row r="25" spans="1:15" x14ac:dyDescent="0.2">
      <c r="A25" t="s">
        <v>39</v>
      </c>
      <c r="D25" t="s">
        <v>33</v>
      </c>
      <c r="E25">
        <f>+IF(E22=A22,14.14+(E20-1)*5.15,IF(E22=A23,12.71+(E20-1)*5,IF(E22=A24,15+(E20-1)*5,IF(E22=A25,12.71+(E20-1)*5,"ERROR"))))</f>
        <v>135</v>
      </c>
      <c r="O25" s="25"/>
    </row>
    <row r="27" spans="1:15" x14ac:dyDescent="0.2">
      <c r="K27" s="25"/>
    </row>
    <row r="28" spans="1:15" x14ac:dyDescent="0.2">
      <c r="K28" s="25"/>
    </row>
    <row r="29" spans="1:15" ht="19" x14ac:dyDescent="0.25">
      <c r="D29" s="29" t="s">
        <v>66</v>
      </c>
      <c r="E29" s="29"/>
      <c r="F29" s="29"/>
      <c r="G29" s="29"/>
      <c r="H29" s="29"/>
    </row>
    <row r="30" spans="1:15" x14ac:dyDescent="0.2">
      <c r="D30" s="26" t="s">
        <v>40</v>
      </c>
      <c r="E30" s="26" t="s">
        <v>37</v>
      </c>
      <c r="F30" s="26" t="s">
        <v>38</v>
      </c>
      <c r="G30" s="26" t="s">
        <v>62</v>
      </c>
    </row>
    <row r="31" spans="1:15" x14ac:dyDescent="0.2">
      <c r="D31" s="24" t="s">
        <v>41</v>
      </c>
      <c r="E31" s="24" t="s">
        <v>52</v>
      </c>
      <c r="F31" s="24" t="s">
        <v>55</v>
      </c>
      <c r="G31" s="24" t="s">
        <v>63</v>
      </c>
    </row>
    <row r="32" spans="1:15" x14ac:dyDescent="0.2">
      <c r="D32" s="24" t="s">
        <v>42</v>
      </c>
      <c r="E32" s="24" t="s">
        <v>53</v>
      </c>
      <c r="F32" s="24" t="s">
        <v>56</v>
      </c>
      <c r="G32" s="24" t="s">
        <v>64</v>
      </c>
    </row>
    <row r="33" spans="4:7" x14ac:dyDescent="0.2">
      <c r="D33" s="24" t="s">
        <v>43</v>
      </c>
      <c r="E33" s="24" t="s">
        <v>54</v>
      </c>
      <c r="F33" s="24" t="s">
        <v>57</v>
      </c>
      <c r="G33" s="24" t="s">
        <v>8</v>
      </c>
    </row>
    <row r="34" spans="4:7" x14ac:dyDescent="0.2">
      <c r="D34" s="24" t="s">
        <v>44</v>
      </c>
      <c r="E34" s="23"/>
      <c r="F34" s="24" t="s">
        <v>58</v>
      </c>
      <c r="G34" s="23"/>
    </row>
    <row r="35" spans="4:7" x14ac:dyDescent="0.2">
      <c r="D35" s="24" t="s">
        <v>45</v>
      </c>
      <c r="E35" s="23"/>
      <c r="F35" s="24" t="s">
        <v>59</v>
      </c>
      <c r="G35" s="23"/>
    </row>
    <row r="36" spans="4:7" x14ac:dyDescent="0.2">
      <c r="D36" s="24" t="s">
        <v>46</v>
      </c>
      <c r="E36" s="23"/>
      <c r="F36" s="24" t="s">
        <v>60</v>
      </c>
      <c r="G36" s="23"/>
    </row>
    <row r="37" spans="4:7" x14ac:dyDescent="0.2">
      <c r="D37" s="24" t="s">
        <v>47</v>
      </c>
      <c r="E37" s="23"/>
      <c r="F37" s="24" t="s">
        <v>61</v>
      </c>
      <c r="G37" s="23"/>
    </row>
    <row r="38" spans="4:7" x14ac:dyDescent="0.2">
      <c r="D38" s="24" t="s">
        <v>48</v>
      </c>
      <c r="E38" s="25"/>
      <c r="F38" s="25"/>
      <c r="G38" s="25"/>
    </row>
    <row r="39" spans="4:7" x14ac:dyDescent="0.2">
      <c r="D39" s="24" t="s">
        <v>49</v>
      </c>
      <c r="E39" s="25"/>
      <c r="F39" s="25"/>
      <c r="G39" s="25"/>
    </row>
    <row r="40" spans="4:7" x14ac:dyDescent="0.2">
      <c r="D40" s="24" t="s">
        <v>50</v>
      </c>
      <c r="E40" s="25"/>
      <c r="F40" s="25"/>
      <c r="G40" s="25"/>
    </row>
    <row r="41" spans="4:7" x14ac:dyDescent="0.2">
      <c r="D41" s="24" t="s">
        <v>51</v>
      </c>
    </row>
  </sheetData>
  <mergeCells count="3">
    <mergeCell ref="D1:H1"/>
    <mergeCell ref="D14:H14"/>
    <mergeCell ref="D29:H29"/>
  </mergeCells>
  <dataValidations count="1">
    <dataValidation type="list" allowBlank="1" showInputMessage="1" showErrorMessage="1" sqref="E22" xr:uid="{692F559D-F649-524D-BA57-4E2763DB0A50}">
      <formula1>$A$22:$A$25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6261A-1FC2-7D4B-9310-72827E756881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t="s">
        <v>9</v>
      </c>
    </row>
  </sheetData>
  <sheetProtection algorithmName="SHA-512" hashValue="qOKBjoR7p38Je6wjdpAMCsjFbqaYX/6Dau44ukBEuktW0zdr2xCJp4kykESW3E9iSg8o9rRxdZjdQWJJbEphaA==" saltValue="eq8TJMYzcJw0BrILUAtN6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Cotizador C&amp;T</vt:lpstr>
      <vt:lpstr>Cotizador Express</vt:lpstr>
      <vt:lpstr>Cotizador regular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2020-08-17T16:28:19Z</dcterms:created>
  <dcterms:modified xsi:type="dcterms:W3CDTF">2020-08-20T16:36:31Z</dcterms:modified>
</cp:coreProperties>
</file>